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 activeTab="1"/>
  </bookViews>
  <sheets>
    <sheet name="Sheet1" sheetId="1" r:id="rId1"/>
    <sheet name="chart 2" sheetId="3" r:id="rId2"/>
    <sheet name="Sheet2" sheetId="2" r:id="rId3"/>
  </sheets>
  <definedNames>
    <definedName name="_xlchart.0" hidden="1">Sheet2!$H$2:$I$7</definedName>
    <definedName name="_xlchart.1" hidden="1">Sheet2!$J$1</definedName>
    <definedName name="_xlchart.10" hidden="1">Sheet2!$N$2:$N$7</definedName>
    <definedName name="_xlchart.11" hidden="1">Sheet2!$H$2:$I$7</definedName>
    <definedName name="_xlchart.12" hidden="1">Sheet2!$J$1</definedName>
    <definedName name="_xlchart.13" hidden="1">Sheet2!$J$2:$J$7</definedName>
    <definedName name="_xlchart.14" hidden="1">Sheet2!$K$1</definedName>
    <definedName name="_xlchart.15" hidden="1">Sheet2!$K$2:$K$7</definedName>
    <definedName name="_xlchart.16" hidden="1">Sheet2!$L$1</definedName>
    <definedName name="_xlchart.17" hidden="1">Sheet2!$L$2:$L$7</definedName>
    <definedName name="_xlchart.18" hidden="1">Sheet2!$M$1</definedName>
    <definedName name="_xlchart.19" hidden="1">Sheet2!$M$2:$M$7</definedName>
    <definedName name="_xlchart.2" hidden="1">Sheet2!$J$2:$J$7</definedName>
    <definedName name="_xlchart.20" hidden="1">Sheet2!$N$1</definedName>
    <definedName name="_xlchart.21" hidden="1">Sheet2!$N$2:$N$7</definedName>
    <definedName name="_xlchart.22" hidden="1">Sheet2!$H$2:$I$7</definedName>
    <definedName name="_xlchart.23" hidden="1">Sheet2!$J$1</definedName>
    <definedName name="_xlchart.24" hidden="1">Sheet2!$J$2:$J$7</definedName>
    <definedName name="_xlchart.25" hidden="1">Sheet2!$K$1</definedName>
    <definedName name="_xlchart.26" hidden="1">Sheet2!$K$2:$K$7</definedName>
    <definedName name="_xlchart.27" hidden="1">Sheet2!$L$1</definedName>
    <definedName name="_xlchart.28" hidden="1">Sheet2!$L$2:$L$7</definedName>
    <definedName name="_xlchart.29" hidden="1">Sheet2!$M$1</definedName>
    <definedName name="_xlchart.3" hidden="1">Sheet2!$K$1</definedName>
    <definedName name="_xlchart.30" hidden="1">Sheet2!$M$2:$M$7</definedName>
    <definedName name="_xlchart.31" hidden="1">Sheet2!$N$1</definedName>
    <definedName name="_xlchart.32" hidden="1">Sheet2!$N$2:$N$7</definedName>
    <definedName name="_xlchart.33" hidden="1">Sheet2!$H$2:$I$7</definedName>
    <definedName name="_xlchart.34" hidden="1">Sheet2!$J$1</definedName>
    <definedName name="_xlchart.35" hidden="1">Sheet2!$J$2:$J$7</definedName>
    <definedName name="_xlchart.36" hidden="1">Sheet2!$K$1</definedName>
    <definedName name="_xlchart.37" hidden="1">Sheet2!$K$2:$K$7</definedName>
    <definedName name="_xlchart.38" hidden="1">Sheet2!$L$1</definedName>
    <definedName name="_xlchart.39" hidden="1">Sheet2!$L$2:$L$7</definedName>
    <definedName name="_xlchart.4" hidden="1">Sheet2!$K$2:$K$7</definedName>
    <definedName name="_xlchart.40" hidden="1">Sheet2!$M$1</definedName>
    <definedName name="_xlchart.41" hidden="1">Sheet2!$M$2:$M$7</definedName>
    <definedName name="_xlchart.42" hidden="1">Sheet2!$N$1</definedName>
    <definedName name="_xlchart.43" hidden="1">Sheet2!$N$2:$N$7</definedName>
    <definedName name="_xlchart.44" hidden="1">Sheet2!$H$2:$I$7</definedName>
    <definedName name="_xlchart.45" hidden="1">Sheet2!$J$1</definedName>
    <definedName name="_xlchart.46" hidden="1">Sheet2!$J$2:$J$7</definedName>
    <definedName name="_xlchart.47" hidden="1">Sheet2!$K$1</definedName>
    <definedName name="_xlchart.48" hidden="1">Sheet2!$K$2:$K$7</definedName>
    <definedName name="_xlchart.49" hidden="1">Sheet2!$L$1</definedName>
    <definedName name="_xlchart.5" hidden="1">Sheet2!$L$1</definedName>
    <definedName name="_xlchart.50" hidden="1">Sheet2!$L$2:$L$7</definedName>
    <definedName name="_xlchart.51" hidden="1">Sheet2!$M$1</definedName>
    <definedName name="_xlchart.52" hidden="1">Sheet2!$M$2:$M$7</definedName>
    <definedName name="_xlchart.53" hidden="1">Sheet2!$N$1</definedName>
    <definedName name="_xlchart.54" hidden="1">Sheet2!$N$2:$N$7</definedName>
    <definedName name="_xlchart.55" hidden="1">Sheet2!$H$2:$I$7</definedName>
    <definedName name="_xlchart.56" hidden="1">Sheet2!$J$1</definedName>
    <definedName name="_xlchart.57" hidden="1">Sheet2!$J$2:$J$7</definedName>
    <definedName name="_xlchart.58" hidden="1">Sheet2!$K$1</definedName>
    <definedName name="_xlchart.59" hidden="1">Sheet2!$K$2:$K$7</definedName>
    <definedName name="_xlchart.6" hidden="1">Sheet2!$L$2:$L$7</definedName>
    <definedName name="_xlchart.60" hidden="1">Sheet2!$L$1</definedName>
    <definedName name="_xlchart.61" hidden="1">Sheet2!$L$2:$L$7</definedName>
    <definedName name="_xlchart.62" hidden="1">Sheet2!$M$1</definedName>
    <definedName name="_xlchart.63" hidden="1">Sheet2!$M$2:$M$7</definedName>
    <definedName name="_xlchart.64" hidden="1">Sheet2!$N$1</definedName>
    <definedName name="_xlchart.65" hidden="1">Sheet2!$N$2:$N$7</definedName>
    <definedName name="_xlchart.66" hidden="1">Sheet2!$H$2:$I$7</definedName>
    <definedName name="_xlchart.67" hidden="1">Sheet2!$J$1</definedName>
    <definedName name="_xlchart.68" hidden="1">Sheet2!$J$2:$J$7</definedName>
    <definedName name="_xlchart.69" hidden="1">Sheet2!$K$1</definedName>
    <definedName name="_xlchart.7" hidden="1">Sheet2!$M$1</definedName>
    <definedName name="_xlchart.70" hidden="1">Sheet2!$K$2:$K$7</definedName>
    <definedName name="_xlchart.71" hidden="1">Sheet2!$L$1</definedName>
    <definedName name="_xlchart.72" hidden="1">Sheet2!$L$2:$L$7</definedName>
    <definedName name="_xlchart.73" hidden="1">Sheet2!$M$1</definedName>
    <definedName name="_xlchart.74" hidden="1">Sheet2!$M$2:$M$7</definedName>
    <definedName name="_xlchart.75" hidden="1">Sheet2!$N$1</definedName>
    <definedName name="_xlchart.76" hidden="1">Sheet2!$N$2:$N$7</definedName>
    <definedName name="_xlchart.77" hidden="1">Sheet2!$H$2:$I$7</definedName>
    <definedName name="_xlchart.78" hidden="1">Sheet2!$J$1</definedName>
    <definedName name="_xlchart.79" hidden="1">Sheet2!$J$2:$J$7</definedName>
    <definedName name="_xlchart.8" hidden="1">Sheet2!$M$2:$M$7</definedName>
    <definedName name="_xlchart.80" hidden="1">Sheet2!$K$1</definedName>
    <definedName name="_xlchart.81" hidden="1">Sheet2!$K$2:$K$7</definedName>
    <definedName name="_xlchart.82" hidden="1">Sheet2!$L$1</definedName>
    <definedName name="_xlchart.83" hidden="1">Sheet2!$L$2:$L$7</definedName>
    <definedName name="_xlchart.84" hidden="1">Sheet2!$M$1</definedName>
    <definedName name="_xlchart.85" hidden="1">Sheet2!$M$2:$M$7</definedName>
    <definedName name="_xlchart.86" hidden="1">Sheet2!$N$1</definedName>
    <definedName name="_xlchart.87" hidden="1">Sheet2!$N$2:$N$7</definedName>
    <definedName name="_xlchart.9" hidden="1">Sheet2!$N$1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" l="1"/>
  <c r="N4" i="2"/>
  <c r="O5" i="2"/>
  <c r="O6" i="2"/>
  <c r="N7" i="2"/>
  <c r="O2" i="2"/>
  <c r="N2" i="2"/>
  <c r="O4" i="2" l="1"/>
  <c r="N3" i="2"/>
  <c r="N5" i="2"/>
  <c r="Q5" i="2" s="1"/>
  <c r="N6" i="2"/>
  <c r="P6" i="2" s="1"/>
  <c r="R6" i="2"/>
  <c r="Q7" i="2"/>
  <c r="O7" i="2"/>
  <c r="P7" i="2"/>
  <c r="R4" i="2" l="1"/>
  <c r="Q3" i="2"/>
  <c r="R2" i="2"/>
  <c r="R7" i="2"/>
  <c r="P3" i="2"/>
  <c r="P4" i="2"/>
  <c r="P2" i="2"/>
  <c r="R5" i="2"/>
  <c r="Q6" i="2"/>
  <c r="P5" i="2"/>
  <c r="Q4" i="2"/>
  <c r="R3" i="2"/>
  <c r="Q2" i="2"/>
</calcChain>
</file>

<file path=xl/sharedStrings.xml><?xml version="1.0" encoding="utf-8"?>
<sst xmlns="http://schemas.openxmlformats.org/spreadsheetml/2006/main" count="37" uniqueCount="32">
  <si>
    <t>DESIGN 1</t>
  </si>
  <si>
    <t>DESIGN 2</t>
  </si>
  <si>
    <t>COLOR 1</t>
  </si>
  <si>
    <t>COLOR 2</t>
  </si>
  <si>
    <t>COLOR 3</t>
  </si>
  <si>
    <t>COLOR 4</t>
  </si>
  <si>
    <t>COLOR 5</t>
  </si>
  <si>
    <t>COLOR 6</t>
  </si>
  <si>
    <t>COLOR 7</t>
  </si>
  <si>
    <t>COLOR 8</t>
  </si>
  <si>
    <t>COLOR 9</t>
  </si>
  <si>
    <t>COLOR 10</t>
  </si>
  <si>
    <t>DESIGN 3</t>
  </si>
  <si>
    <t>DESIGN 4</t>
  </si>
  <si>
    <t>DESIGN 5</t>
  </si>
  <si>
    <t>DESIGN 6</t>
  </si>
  <si>
    <t>DESIGN 7</t>
  </si>
  <si>
    <t>DESIGN 8</t>
  </si>
  <si>
    <t>DESIGN 9</t>
  </si>
  <si>
    <t>DESIGN 10</t>
  </si>
  <si>
    <t>Date</t>
  </si>
  <si>
    <t>Post type</t>
  </si>
  <si>
    <t>Reach</t>
  </si>
  <si>
    <t>Like</t>
  </si>
  <si>
    <t>Comment</t>
  </si>
  <si>
    <t>Share</t>
  </si>
  <si>
    <t>Engagment rate</t>
  </si>
  <si>
    <t>Reel</t>
  </si>
  <si>
    <t>Total engagment</t>
  </si>
  <si>
    <t>Average engagment</t>
  </si>
  <si>
    <t>Reel average</t>
  </si>
  <si>
    <t>Post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</si>
</sst>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Reach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Sheet2!$H$2:$I$7</c:f>
              <c:multiLvlStrCache>
                <c:ptCount val="6"/>
                <c:lvl>
                  <c:pt idx="0">
                    <c:v>Reel</c:v>
                  </c:pt>
                  <c:pt idx="1">
                    <c:v>Reel</c:v>
                  </c:pt>
                  <c:pt idx="2">
                    <c:v>Reel</c:v>
                  </c:pt>
                  <c:pt idx="3">
                    <c:v>Reel</c:v>
                  </c:pt>
                  <c:pt idx="4">
                    <c:v>Reel</c:v>
                  </c:pt>
                  <c:pt idx="5">
                    <c:v>Reel</c:v>
                  </c:pt>
                </c:lvl>
                <c:lvl>
                  <c:pt idx="0">
                    <c:v>01-02-2025</c:v>
                  </c:pt>
                  <c:pt idx="1">
                    <c:v>02-02-2025</c:v>
                  </c:pt>
                  <c:pt idx="2">
                    <c:v>03-01-2025</c:v>
                  </c:pt>
                  <c:pt idx="3">
                    <c:v>04-02-2025</c:v>
                  </c:pt>
                  <c:pt idx="4">
                    <c:v>05-02-2025</c:v>
                  </c:pt>
                  <c:pt idx="5">
                    <c:v>06-05-2025</c:v>
                  </c:pt>
                </c:lvl>
              </c:multiLvlStrCache>
            </c:multiLvlStrRef>
          </c:cat>
          <c:val>
            <c:numRef>
              <c:f>Sheet2!$J$2:$J$7</c:f>
              <c:numCache>
                <c:formatCode>General</c:formatCode>
                <c:ptCount val="6"/>
                <c:pt idx="0">
                  <c:v>5000</c:v>
                </c:pt>
                <c:pt idx="1">
                  <c:v>556</c:v>
                </c:pt>
                <c:pt idx="2">
                  <c:v>552</c:v>
                </c:pt>
                <c:pt idx="3">
                  <c:v>554</c:v>
                </c:pt>
                <c:pt idx="4">
                  <c:v>856</c:v>
                </c:pt>
                <c:pt idx="5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D-4EB9-AD5B-67C5A304FDB7}"/>
            </c:ext>
          </c:extLst>
        </c:ser>
        <c:ser>
          <c:idx val="1"/>
          <c:order val="1"/>
          <c:tx>
            <c:strRef>
              <c:f>Sheet2!$K$1</c:f>
              <c:strCache>
                <c:ptCount val="1"/>
                <c:pt idx="0">
                  <c:v>Like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Sheet2!$H$2:$I$7</c:f>
              <c:multiLvlStrCache>
                <c:ptCount val="6"/>
                <c:lvl>
                  <c:pt idx="0">
                    <c:v>Reel</c:v>
                  </c:pt>
                  <c:pt idx="1">
                    <c:v>Reel</c:v>
                  </c:pt>
                  <c:pt idx="2">
                    <c:v>Reel</c:v>
                  </c:pt>
                  <c:pt idx="3">
                    <c:v>Reel</c:v>
                  </c:pt>
                  <c:pt idx="4">
                    <c:v>Reel</c:v>
                  </c:pt>
                  <c:pt idx="5">
                    <c:v>Reel</c:v>
                  </c:pt>
                </c:lvl>
                <c:lvl>
                  <c:pt idx="0">
                    <c:v>01-02-2025</c:v>
                  </c:pt>
                  <c:pt idx="1">
                    <c:v>02-02-2025</c:v>
                  </c:pt>
                  <c:pt idx="2">
                    <c:v>03-01-2025</c:v>
                  </c:pt>
                  <c:pt idx="3">
                    <c:v>04-02-2025</c:v>
                  </c:pt>
                  <c:pt idx="4">
                    <c:v>05-02-2025</c:v>
                  </c:pt>
                  <c:pt idx="5">
                    <c:v>06-05-2025</c:v>
                  </c:pt>
                </c:lvl>
              </c:multiLvlStrCache>
            </c:multiLvlStrRef>
          </c:cat>
          <c:val>
            <c:numRef>
              <c:f>Sheet2!$K$2:$K$7</c:f>
              <c:numCache>
                <c:formatCode>General</c:formatCode>
                <c:ptCount val="6"/>
                <c:pt idx="0">
                  <c:v>89</c:v>
                </c:pt>
                <c:pt idx="1">
                  <c:v>445</c:v>
                </c:pt>
                <c:pt idx="2">
                  <c:v>522</c:v>
                </c:pt>
                <c:pt idx="3">
                  <c:v>545</c:v>
                </c:pt>
                <c:pt idx="4">
                  <c:v>222</c:v>
                </c:pt>
                <c:pt idx="5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D-4EB9-AD5B-67C5A304FDB7}"/>
            </c:ext>
          </c:extLst>
        </c:ser>
        <c:ser>
          <c:idx val="2"/>
          <c:order val="2"/>
          <c:tx>
            <c:strRef>
              <c:f>Sheet2!$L$1</c:f>
              <c:strCache>
                <c:ptCount val="1"/>
                <c:pt idx="0">
                  <c:v>Comment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Sheet2!$H$2:$I$7</c:f>
              <c:multiLvlStrCache>
                <c:ptCount val="6"/>
                <c:lvl>
                  <c:pt idx="0">
                    <c:v>Reel</c:v>
                  </c:pt>
                  <c:pt idx="1">
                    <c:v>Reel</c:v>
                  </c:pt>
                  <c:pt idx="2">
                    <c:v>Reel</c:v>
                  </c:pt>
                  <c:pt idx="3">
                    <c:v>Reel</c:v>
                  </c:pt>
                  <c:pt idx="4">
                    <c:v>Reel</c:v>
                  </c:pt>
                  <c:pt idx="5">
                    <c:v>Reel</c:v>
                  </c:pt>
                </c:lvl>
                <c:lvl>
                  <c:pt idx="0">
                    <c:v>01-02-2025</c:v>
                  </c:pt>
                  <c:pt idx="1">
                    <c:v>02-02-2025</c:v>
                  </c:pt>
                  <c:pt idx="2">
                    <c:v>03-01-2025</c:v>
                  </c:pt>
                  <c:pt idx="3">
                    <c:v>04-02-2025</c:v>
                  </c:pt>
                  <c:pt idx="4">
                    <c:v>05-02-2025</c:v>
                  </c:pt>
                  <c:pt idx="5">
                    <c:v>06-05-2025</c:v>
                  </c:pt>
                </c:lvl>
              </c:multiLvlStrCache>
            </c:multiLvlStrRef>
          </c:cat>
          <c:val>
            <c:numRef>
              <c:f>Sheet2!$L$2:$L$7</c:f>
              <c:numCache>
                <c:formatCode>General</c:formatCode>
                <c:ptCount val="6"/>
                <c:pt idx="0">
                  <c:v>7</c:v>
                </c:pt>
                <c:pt idx="1">
                  <c:v>22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1D-4EB9-AD5B-67C5A304FDB7}"/>
            </c:ext>
          </c:extLst>
        </c:ser>
        <c:ser>
          <c:idx val="3"/>
          <c:order val="3"/>
          <c:tx>
            <c:strRef>
              <c:f>Sheet2!$M$1</c:f>
              <c:strCache>
                <c:ptCount val="1"/>
                <c:pt idx="0">
                  <c:v>Share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Sheet2!$H$2:$I$7</c:f>
              <c:multiLvlStrCache>
                <c:ptCount val="6"/>
                <c:lvl>
                  <c:pt idx="0">
                    <c:v>Reel</c:v>
                  </c:pt>
                  <c:pt idx="1">
                    <c:v>Reel</c:v>
                  </c:pt>
                  <c:pt idx="2">
                    <c:v>Reel</c:v>
                  </c:pt>
                  <c:pt idx="3">
                    <c:v>Reel</c:v>
                  </c:pt>
                  <c:pt idx="4">
                    <c:v>Reel</c:v>
                  </c:pt>
                  <c:pt idx="5">
                    <c:v>Reel</c:v>
                  </c:pt>
                </c:lvl>
                <c:lvl>
                  <c:pt idx="0">
                    <c:v>01-02-2025</c:v>
                  </c:pt>
                  <c:pt idx="1">
                    <c:v>02-02-2025</c:v>
                  </c:pt>
                  <c:pt idx="2">
                    <c:v>03-01-2025</c:v>
                  </c:pt>
                  <c:pt idx="3">
                    <c:v>04-02-2025</c:v>
                  </c:pt>
                  <c:pt idx="4">
                    <c:v>05-02-2025</c:v>
                  </c:pt>
                  <c:pt idx="5">
                    <c:v>06-05-2025</c:v>
                  </c:pt>
                </c:lvl>
              </c:multiLvlStrCache>
            </c:multiLvlStrRef>
          </c:cat>
          <c:val>
            <c:numRef>
              <c:f>Sheet2!$M$2:$M$7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1D-4EB9-AD5B-67C5A304FDB7}"/>
            </c:ext>
          </c:extLst>
        </c:ser>
        <c:ser>
          <c:idx val="4"/>
          <c:order val="4"/>
          <c:tx>
            <c:strRef>
              <c:f>Sheet2!$N$1</c:f>
              <c:strCache>
                <c:ptCount val="1"/>
                <c:pt idx="0">
                  <c:v>Engagment rate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Sheet2!$H$2:$I$7</c:f>
              <c:multiLvlStrCache>
                <c:ptCount val="6"/>
                <c:lvl>
                  <c:pt idx="0">
                    <c:v>Reel</c:v>
                  </c:pt>
                  <c:pt idx="1">
                    <c:v>Reel</c:v>
                  </c:pt>
                  <c:pt idx="2">
                    <c:v>Reel</c:v>
                  </c:pt>
                  <c:pt idx="3">
                    <c:v>Reel</c:v>
                  </c:pt>
                  <c:pt idx="4">
                    <c:v>Reel</c:v>
                  </c:pt>
                  <c:pt idx="5">
                    <c:v>Reel</c:v>
                  </c:pt>
                </c:lvl>
                <c:lvl>
                  <c:pt idx="0">
                    <c:v>01-02-2025</c:v>
                  </c:pt>
                  <c:pt idx="1">
                    <c:v>02-02-2025</c:v>
                  </c:pt>
                  <c:pt idx="2">
                    <c:v>03-01-2025</c:v>
                  </c:pt>
                  <c:pt idx="3">
                    <c:v>04-02-2025</c:v>
                  </c:pt>
                  <c:pt idx="4">
                    <c:v>05-02-2025</c:v>
                  </c:pt>
                  <c:pt idx="5">
                    <c:v>06-05-2025</c:v>
                  </c:pt>
                </c:lvl>
              </c:multiLvlStrCache>
            </c:multiLvlStrRef>
          </c:cat>
          <c:val>
            <c:numRef>
              <c:f>Sheet2!$N$2:$N$7</c:f>
              <c:numCache>
                <c:formatCode>General</c:formatCode>
                <c:ptCount val="6"/>
                <c:pt idx="0">
                  <c:v>1.96</c:v>
                </c:pt>
                <c:pt idx="1">
                  <c:v>84.172661870503589</c:v>
                </c:pt>
                <c:pt idx="2">
                  <c:v>95.471014492753625</c:v>
                </c:pt>
                <c:pt idx="3">
                  <c:v>100.18050541516246</c:v>
                </c:pt>
                <c:pt idx="4">
                  <c:v>26.401869158878505</c:v>
                </c:pt>
                <c:pt idx="5">
                  <c:v>210.90225563909772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1D-4EB9-AD5B-67C5A304FD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0650431"/>
        <c:axId val="454188031"/>
      </c:barChart>
      <c:catAx>
        <c:axId val="39065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88031"/>
        <c:crosses val="autoZero"/>
        <c:auto val="1"/>
        <c:lblAlgn val="ctr"/>
        <c:lblOffset val="100"/>
        <c:noMultiLvlLbl val="0"/>
      </c:catAx>
      <c:valAx>
        <c:axId val="45418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65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M8" sqref="M8"/>
    </sheetView>
  </sheetViews>
  <sheetFormatPr defaultRowHeight="15" x14ac:dyDescent="0.25"/>
  <cols>
    <col min="1" max="1" width="9.42578125" bestFit="1" customWidth="1"/>
    <col min="2" max="10" width="9" bestFit="1" customWidth="1"/>
    <col min="11" max="11" width="10" bestFit="1" customWidth="1"/>
  </cols>
  <sheetData>
    <row r="1" spans="1:11" x14ac:dyDescent="0.25">
      <c r="B1" t="s">
        <v>0</v>
      </c>
      <c r="C1" t="s">
        <v>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t="s">
        <v>2</v>
      </c>
    </row>
    <row r="3" spans="1:11" x14ac:dyDescent="0.25">
      <c r="A3" t="s">
        <v>3</v>
      </c>
    </row>
    <row r="4" spans="1:11" x14ac:dyDescent="0.25">
      <c r="A4" t="s">
        <v>4</v>
      </c>
    </row>
    <row r="5" spans="1:11" x14ac:dyDescent="0.25">
      <c r="A5" t="s">
        <v>5</v>
      </c>
    </row>
    <row r="6" spans="1:11" x14ac:dyDescent="0.25">
      <c r="A6" t="s">
        <v>6</v>
      </c>
    </row>
    <row r="7" spans="1:11" x14ac:dyDescent="0.25">
      <c r="A7" t="s">
        <v>7</v>
      </c>
    </row>
    <row r="8" spans="1:11" x14ac:dyDescent="0.25">
      <c r="A8" t="s">
        <v>8</v>
      </c>
    </row>
    <row r="9" spans="1:11" x14ac:dyDescent="0.25">
      <c r="A9" t="s">
        <v>9</v>
      </c>
    </row>
    <row r="10" spans="1:11" x14ac:dyDescent="0.25">
      <c r="A10" t="s">
        <v>10</v>
      </c>
    </row>
    <row r="11" spans="1:11" x14ac:dyDescent="0.25">
      <c r="A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R8"/>
  <sheetViews>
    <sheetView workbookViewId="0">
      <selection activeCell="N7" sqref="N7"/>
    </sheetView>
  </sheetViews>
  <sheetFormatPr defaultRowHeight="15" x14ac:dyDescent="0.25"/>
  <cols>
    <col min="8" max="8" width="10.42578125" bestFit="1" customWidth="1"/>
    <col min="12" max="12" width="9.7109375" bestFit="1" customWidth="1"/>
    <col min="14" max="14" width="15" bestFit="1" customWidth="1"/>
    <col min="15" max="15" width="16" bestFit="1" customWidth="1"/>
    <col min="16" max="16" width="18.5703125" customWidth="1"/>
    <col min="17" max="18" width="12.85546875" customWidth="1"/>
  </cols>
  <sheetData>
    <row r="1" spans="8:18" x14ac:dyDescent="0.25"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28</v>
      </c>
      <c r="P1" t="s">
        <v>29</v>
      </c>
      <c r="Q1" t="s">
        <v>30</v>
      </c>
      <c r="R1" t="s">
        <v>31</v>
      </c>
    </row>
    <row r="2" spans="8:18" x14ac:dyDescent="0.25">
      <c r="H2" s="1">
        <v>45689</v>
      </c>
      <c r="I2" t="s">
        <v>27</v>
      </c>
      <c r="J2">
        <v>5000</v>
      </c>
      <c r="K2">
        <v>89</v>
      </c>
      <c r="L2">
        <v>7</v>
      </c>
      <c r="M2">
        <v>2</v>
      </c>
      <c r="N2">
        <f>(K2+L2+M2)/J2*100</f>
        <v>1.96</v>
      </c>
      <c r="O2">
        <f>K2+L2+M2</f>
        <v>98</v>
      </c>
      <c r="P2">
        <f>AVERAGE(N2:N11)</f>
        <v>86.514717762732644</v>
      </c>
      <c r="Q2">
        <f>AVERAGE(N2,N4,N6)</f>
        <v>41.277627883877379</v>
      </c>
      <c r="R2">
        <f>AVERAGE(N3,N5,N7)</f>
        <v>131.75180764158793</v>
      </c>
    </row>
    <row r="3" spans="8:18" x14ac:dyDescent="0.25">
      <c r="H3" s="1">
        <v>45690</v>
      </c>
      <c r="I3" t="s">
        <v>27</v>
      </c>
      <c r="J3">
        <v>556</v>
      </c>
      <c r="K3">
        <v>445</v>
      </c>
      <c r="L3">
        <v>22</v>
      </c>
      <c r="M3">
        <v>1</v>
      </c>
      <c r="N3">
        <f t="shared" ref="N3:N7" si="0">(K3+L3+M3)/J3*100</f>
        <v>84.172661870503589</v>
      </c>
      <c r="O3">
        <f t="shared" ref="O3:O7" si="1">K3+L3+M3</f>
        <v>468</v>
      </c>
      <c r="P3">
        <f t="shared" ref="P3:P7" si="2">AVERAGE(N3:N12)</f>
        <v>103.42566131527917</v>
      </c>
      <c r="Q3">
        <f t="shared" ref="Q3:Q7" si="3">AVERAGE(N3,N5,N7)</f>
        <v>131.75180764158793</v>
      </c>
      <c r="R3">
        <f t="shared" ref="R3:R6" si="4">AVERAGE(N4,N6,N8)</f>
        <v>60.936441825816061</v>
      </c>
    </row>
    <row r="4" spans="8:18" x14ac:dyDescent="0.25">
      <c r="H4" s="1">
        <v>45660</v>
      </c>
      <c r="I4" t="s">
        <v>27</v>
      </c>
      <c r="J4">
        <v>552</v>
      </c>
      <c r="K4">
        <v>522</v>
      </c>
      <c r="L4">
        <v>2</v>
      </c>
      <c r="M4">
        <v>3</v>
      </c>
      <c r="N4">
        <f t="shared" si="0"/>
        <v>95.471014492753625</v>
      </c>
      <c r="O4">
        <f t="shared" si="1"/>
        <v>527</v>
      </c>
      <c r="P4">
        <f t="shared" si="2"/>
        <v>108.23891117647307</v>
      </c>
      <c r="Q4">
        <f t="shared" si="3"/>
        <v>60.936441825816061</v>
      </c>
      <c r="R4">
        <f t="shared" si="4"/>
        <v>155.54138052713009</v>
      </c>
    </row>
    <row r="5" spans="8:18" x14ac:dyDescent="0.25">
      <c r="H5" s="1">
        <v>45692</v>
      </c>
      <c r="I5" t="s">
        <v>27</v>
      </c>
      <c r="J5">
        <v>554</v>
      </c>
      <c r="K5">
        <v>545</v>
      </c>
      <c r="L5">
        <v>5</v>
      </c>
      <c r="M5">
        <v>5</v>
      </c>
      <c r="N5">
        <f t="shared" si="0"/>
        <v>100.18050541516246</v>
      </c>
      <c r="O5">
        <f t="shared" si="1"/>
        <v>555</v>
      </c>
      <c r="P5">
        <f t="shared" si="2"/>
        <v>112.49487673771289</v>
      </c>
      <c r="Q5">
        <f t="shared" si="3"/>
        <v>155.54138052713009</v>
      </c>
      <c r="R5">
        <f t="shared" si="4"/>
        <v>26.401869158878505</v>
      </c>
    </row>
    <row r="6" spans="8:18" x14ac:dyDescent="0.25">
      <c r="H6" s="1">
        <v>45693</v>
      </c>
      <c r="I6" t="s">
        <v>27</v>
      </c>
      <c r="J6">
        <v>856</v>
      </c>
      <c r="K6">
        <v>222</v>
      </c>
      <c r="L6">
        <v>2</v>
      </c>
      <c r="M6">
        <v>2</v>
      </c>
      <c r="N6">
        <f t="shared" si="0"/>
        <v>26.401869158878505</v>
      </c>
      <c r="O6">
        <f t="shared" si="1"/>
        <v>226</v>
      </c>
      <c r="P6">
        <f t="shared" si="2"/>
        <v>118.65206239898811</v>
      </c>
      <c r="Q6">
        <f t="shared" si="3"/>
        <v>26.401869158878505</v>
      </c>
      <c r="R6">
        <f t="shared" si="4"/>
        <v>210.90225563909772</v>
      </c>
    </row>
    <row r="7" spans="8:18" x14ac:dyDescent="0.25">
      <c r="H7" s="1">
        <v>45783</v>
      </c>
      <c r="I7" t="s">
        <v>27</v>
      </c>
      <c r="J7">
        <v>266</v>
      </c>
      <c r="K7">
        <v>555</v>
      </c>
      <c r="L7">
        <v>5</v>
      </c>
      <c r="M7">
        <v>1</v>
      </c>
      <c r="N7">
        <f t="shared" si="0"/>
        <v>210.90225563909772</v>
      </c>
      <c r="O7">
        <f t="shared" si="1"/>
        <v>561</v>
      </c>
      <c r="P7">
        <f t="shared" si="2"/>
        <v>210.90225563909772</v>
      </c>
      <c r="Q7">
        <f t="shared" si="3"/>
        <v>210.90225563909772</v>
      </c>
      <c r="R7">
        <f>AVERAGE(N3,N5,N7)</f>
        <v>131.75180764158793</v>
      </c>
    </row>
    <row r="8" spans="8:18" x14ac:dyDescent="0.25">
      <c r="H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Sheet2</vt:lpstr>
      <vt:lpstr>chart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2025-09-05T05:22:43Z</dcterms:created>
  <dcterms:modified xsi:type="dcterms:W3CDTF">2026-02-10T15:10:08Z</dcterms:modified>
</cp:coreProperties>
</file>